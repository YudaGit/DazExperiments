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GARR\Documents\GitHub\Javascript Experiments\Daz2024_PostStimCue\"/>
    </mc:Choice>
  </mc:AlternateContent>
  <xr:revisionPtr revIDLastSave="0" documentId="13_ncr:1_{928993B0-35FC-4E66-858E-993938E39F1D}" xr6:coauthVersionLast="47" xr6:coauthVersionMax="47" xr10:uidLastSave="{00000000-0000-0000-0000-000000000000}"/>
  <bookViews>
    <workbookView xWindow="-120" yWindow="-120" windowWidth="29040" windowHeight="15990" xr2:uid="{CCD59813-433F-4EAE-8F22-7CFFE4A67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F25" i="1" s="1"/>
  <c r="E24" i="1"/>
  <c r="F24" i="1" s="1"/>
  <c r="E23" i="1"/>
  <c r="F23" i="1" s="1"/>
  <c r="G16" i="1"/>
  <c r="H16" i="1" s="1"/>
  <c r="G17" i="1"/>
  <c r="H17" i="1" s="1"/>
  <c r="G15" i="1"/>
  <c r="H15" i="1" s="1"/>
  <c r="E18" i="1"/>
  <c r="F17" i="1" s="1"/>
  <c r="E26" i="1" l="1"/>
  <c r="I15" i="1"/>
  <c r="F15" i="1"/>
  <c r="I16" i="1"/>
  <c r="I17" i="1"/>
  <c r="F16" i="1"/>
  <c r="E29" i="1" s="1"/>
  <c r="E30" i="1" l="1"/>
</calcChain>
</file>

<file path=xl/sharedStrings.xml><?xml version="1.0" encoding="utf-8"?>
<sst xmlns="http://schemas.openxmlformats.org/spreadsheetml/2006/main" count="34" uniqueCount="21">
  <si>
    <t>x</t>
  </si>
  <si>
    <t>~</t>
  </si>
  <si>
    <t>o</t>
  </si>
  <si>
    <t>Redundant Cued</t>
  </si>
  <si>
    <t>Non Redundant Cued</t>
  </si>
  <si>
    <t>cnd trials</t>
  </si>
  <si>
    <t>%</t>
  </si>
  <si>
    <t>cnds</t>
  </si>
  <si>
    <t>Redundant Trials</t>
  </si>
  <si>
    <t>n trials</t>
  </si>
  <si>
    <t>Total Trials</t>
  </si>
  <si>
    <t>group cnd%</t>
  </si>
  <si>
    <t>indiv cnd%</t>
  </si>
  <si>
    <t>Online Testing: Single Session</t>
  </si>
  <si>
    <t>Online Testing: Two Sessions</t>
  </si>
  <si>
    <t>N Items</t>
  </si>
  <si>
    <t>N Colors</t>
  </si>
  <si>
    <t>x, o, ~</t>
  </si>
  <si>
    <t>Unique Ns:</t>
  </si>
  <si>
    <t>Post Stim Cued Exp</t>
  </si>
  <si>
    <t>redundant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</si>
</sst>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9" fontId="0" fillId="0" borderId="0" xfId="0" applyNumberFormat="1"/>
    <xf numFmtId="0" fontId="0" fillId="0" borderId="2" xfId="0" applyFill="1" applyBorder="1"/>
    <xf numFmtId="9" fontId="0" fillId="0" borderId="1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right"/>
    </xf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C54B-7D5D-4370-9B12-6F6E2EA3DD84}">
  <dimension ref="C5:K30"/>
  <sheetViews>
    <sheetView tabSelected="1" workbookViewId="0">
      <selection activeCell="H24" sqref="H24"/>
    </sheetView>
  </sheetViews>
  <sheetFormatPr defaultRowHeight="14.25" x14ac:dyDescent="0.2"/>
  <cols>
    <col min="3" max="3" width="14.75" customWidth="1"/>
    <col min="4" max="4" width="8" customWidth="1"/>
    <col min="5" max="5" width="8.25" customWidth="1"/>
    <col min="6" max="6" width="10.625" bestFit="1" customWidth="1"/>
    <col min="7" max="7" width="8.25" bestFit="1" customWidth="1"/>
    <col min="8" max="8" width="13.5" bestFit="1" customWidth="1"/>
    <col min="10" max="10" width="15.75" bestFit="1" customWidth="1"/>
    <col min="11" max="11" width="9.875" bestFit="1" customWidth="1"/>
    <col min="13" max="13" width="11.875" bestFit="1" customWidth="1"/>
    <col min="15" max="15" width="11.875" bestFit="1" customWidth="1"/>
  </cols>
  <sheetData>
    <row r="5" spans="3:9" ht="15" x14ac:dyDescent="0.25">
      <c r="C5" s="14" t="s">
        <v>19</v>
      </c>
      <c r="D5" s="15"/>
      <c r="E5" s="16" t="s">
        <v>15</v>
      </c>
      <c r="F5" s="15"/>
      <c r="G5" s="15"/>
      <c r="H5" s="17"/>
    </row>
    <row r="6" spans="3:9" x14ac:dyDescent="0.2">
      <c r="C6" s="18"/>
      <c r="D6" s="13"/>
      <c r="E6" s="27">
        <v>6</v>
      </c>
      <c r="F6" s="27">
        <v>4</v>
      </c>
      <c r="G6" s="27">
        <v>2</v>
      </c>
      <c r="H6" s="26">
        <v>1</v>
      </c>
    </row>
    <row r="7" spans="3:9" x14ac:dyDescent="0.2">
      <c r="C7" s="19" t="s">
        <v>16</v>
      </c>
      <c r="D7" s="25">
        <v>6</v>
      </c>
      <c r="E7" s="21" t="s">
        <v>0</v>
      </c>
      <c r="F7" s="21"/>
      <c r="G7" s="21"/>
      <c r="H7" s="20"/>
    </row>
    <row r="8" spans="3:9" x14ac:dyDescent="0.2">
      <c r="C8" s="28"/>
      <c r="D8" s="25">
        <v>4</v>
      </c>
      <c r="E8" s="21" t="s">
        <v>2</v>
      </c>
      <c r="F8" s="21" t="s">
        <v>0</v>
      </c>
      <c r="G8" s="21"/>
      <c r="H8" s="20"/>
    </row>
    <row r="9" spans="3:9" x14ac:dyDescent="0.2">
      <c r="C9" s="22" t="s">
        <v>18</v>
      </c>
      <c r="D9" s="25">
        <v>2</v>
      </c>
      <c r="E9" s="21" t="s">
        <v>2</v>
      </c>
      <c r="F9" s="21" t="s">
        <v>2</v>
      </c>
      <c r="G9" s="21" t="s">
        <v>0</v>
      </c>
      <c r="H9" s="20"/>
    </row>
    <row r="10" spans="3:9" x14ac:dyDescent="0.2">
      <c r="C10" s="23" t="s">
        <v>17</v>
      </c>
      <c r="D10" s="26">
        <v>1</v>
      </c>
      <c r="E10" s="12" t="s">
        <v>1</v>
      </c>
      <c r="F10" s="12" t="s">
        <v>1</v>
      </c>
      <c r="G10" s="12" t="s">
        <v>1</v>
      </c>
      <c r="H10" s="13" t="s">
        <v>1</v>
      </c>
    </row>
    <row r="11" spans="3:9" x14ac:dyDescent="0.2">
      <c r="C11" s="24"/>
      <c r="D11" s="24"/>
      <c r="E11" s="24"/>
      <c r="F11" s="24"/>
      <c r="G11" s="24"/>
      <c r="H11" s="24"/>
    </row>
    <row r="13" spans="3:9" x14ac:dyDescent="0.2">
      <c r="C13" t="s">
        <v>13</v>
      </c>
    </row>
    <row r="14" spans="3:9" x14ac:dyDescent="0.2">
      <c r="C14" s="6" t="s">
        <v>8</v>
      </c>
      <c r="D14" s="4" t="s">
        <v>7</v>
      </c>
      <c r="E14" s="4" t="s">
        <v>9</v>
      </c>
      <c r="F14" s="4" t="s">
        <v>11</v>
      </c>
      <c r="G14" s="4" t="s">
        <v>5</v>
      </c>
      <c r="H14" s="4" t="s">
        <v>20</v>
      </c>
      <c r="I14" s="4" t="s">
        <v>12</v>
      </c>
    </row>
    <row r="15" spans="3:9" x14ac:dyDescent="0.2">
      <c r="C15" s="5">
        <v>0</v>
      </c>
      <c r="D15" s="1">
        <v>3</v>
      </c>
      <c r="E15" s="1">
        <v>123</v>
      </c>
      <c r="F15" s="1">
        <f>ROUND(E15/E18*100,2)</f>
        <v>30.37</v>
      </c>
      <c r="G15" s="1">
        <f>E15/D15</f>
        <v>41</v>
      </c>
      <c r="H15" s="1">
        <f>G15*C15</f>
        <v>0</v>
      </c>
      <c r="I15" s="1">
        <f>ROUND(G15/E18*100,2)</f>
        <v>10.119999999999999</v>
      </c>
    </row>
    <row r="16" spans="3:9" x14ac:dyDescent="0.2">
      <c r="C16" s="5">
        <v>0.5</v>
      </c>
      <c r="D16" s="1">
        <v>3</v>
      </c>
      <c r="E16" s="1">
        <v>222</v>
      </c>
      <c r="F16" s="1">
        <f>ROUND(E16/E18*100,2)</f>
        <v>54.81</v>
      </c>
      <c r="G16" s="1">
        <f>E16/D16</f>
        <v>74</v>
      </c>
      <c r="H16" s="1">
        <f>G16*C16</f>
        <v>37</v>
      </c>
      <c r="I16" s="1">
        <f>ROUND(G16/E18*100,2)</f>
        <v>18.27</v>
      </c>
    </row>
    <row r="17" spans="3:11" x14ac:dyDescent="0.2">
      <c r="C17" s="7">
        <v>1</v>
      </c>
      <c r="D17" s="2">
        <v>4</v>
      </c>
      <c r="E17" s="2">
        <v>60</v>
      </c>
      <c r="F17" s="2">
        <f>ROUND(E17/E18*100,2)</f>
        <v>14.81</v>
      </c>
      <c r="G17" s="2">
        <f>E17/D17</f>
        <v>15</v>
      </c>
      <c r="H17" s="2">
        <f>G17*C17</f>
        <v>15</v>
      </c>
      <c r="I17" s="2">
        <f>ROUND(G17/E18*100,2)</f>
        <v>3.7</v>
      </c>
    </row>
    <row r="18" spans="3:11" x14ac:dyDescent="0.2">
      <c r="C18" s="2" t="s">
        <v>10</v>
      </c>
      <c r="D18" s="2"/>
      <c r="E18" s="2">
        <f>SUM(E15:E17)</f>
        <v>405</v>
      </c>
      <c r="F18" s="2"/>
      <c r="G18" s="2"/>
      <c r="H18" s="2"/>
      <c r="I18" s="2"/>
    </row>
    <row r="21" spans="3:11" x14ac:dyDescent="0.2">
      <c r="C21" t="s">
        <v>14</v>
      </c>
    </row>
    <row r="22" spans="3:11" x14ac:dyDescent="0.2">
      <c r="C22" s="6" t="s">
        <v>8</v>
      </c>
      <c r="D22" s="4" t="s">
        <v>7</v>
      </c>
      <c r="E22" s="4" t="s">
        <v>9</v>
      </c>
      <c r="F22" s="4" t="s">
        <v>5</v>
      </c>
    </row>
    <row r="23" spans="3:11" x14ac:dyDescent="0.2">
      <c r="C23" s="5">
        <v>0</v>
      </c>
      <c r="D23" s="1">
        <v>3</v>
      </c>
      <c r="E23" s="1">
        <f>E15*2</f>
        <v>246</v>
      </c>
      <c r="F23" s="1">
        <f>E23/D23</f>
        <v>82</v>
      </c>
    </row>
    <row r="24" spans="3:11" x14ac:dyDescent="0.2">
      <c r="C24" s="5">
        <v>0.5</v>
      </c>
      <c r="D24" s="1">
        <v>3</v>
      </c>
      <c r="E24" s="1">
        <f>E16*2</f>
        <v>444</v>
      </c>
      <c r="F24" s="1">
        <f>E24/D24</f>
        <v>148</v>
      </c>
    </row>
    <row r="25" spans="3:11" x14ac:dyDescent="0.2">
      <c r="C25" s="7">
        <v>1</v>
      </c>
      <c r="D25" s="2">
        <v>4</v>
      </c>
      <c r="E25" s="2">
        <f>E17*2</f>
        <v>120</v>
      </c>
      <c r="F25" s="2">
        <f>E25/D25</f>
        <v>30</v>
      </c>
    </row>
    <row r="26" spans="3:11" x14ac:dyDescent="0.2">
      <c r="C26" s="2" t="s">
        <v>10</v>
      </c>
      <c r="D26" s="2"/>
      <c r="E26" s="2">
        <f>SUM(E23:E25)</f>
        <v>810</v>
      </c>
      <c r="F26" s="2"/>
    </row>
    <row r="27" spans="3:11" x14ac:dyDescent="0.2">
      <c r="K27" s="29"/>
    </row>
    <row r="29" spans="3:11" x14ac:dyDescent="0.2">
      <c r="C29" s="9" t="s">
        <v>3</v>
      </c>
      <c r="D29" s="3"/>
      <c r="E29" s="3">
        <f>F16*C16 + F17</f>
        <v>42.215000000000003</v>
      </c>
      <c r="F29" s="10" t="s">
        <v>6</v>
      </c>
    </row>
    <row r="30" spans="3:11" x14ac:dyDescent="0.2">
      <c r="C30" s="11" t="s">
        <v>4</v>
      </c>
      <c r="D30" s="2"/>
      <c r="E30" s="2">
        <f>F16*C16+F15</f>
        <v>57.775000000000006</v>
      </c>
      <c r="F30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Garrett</dc:creator>
  <cp:lastModifiedBy>Paul Garrett</cp:lastModifiedBy>
  <dcterms:created xsi:type="dcterms:W3CDTF">2024-03-06T21:41:39Z</dcterms:created>
  <dcterms:modified xsi:type="dcterms:W3CDTF">2024-03-06T23:58:20Z</dcterms:modified>
</cp:coreProperties>
</file>